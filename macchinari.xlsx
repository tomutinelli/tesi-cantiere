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Tesi_Magistrale\Progetto\Codice\"/>
    </mc:Choice>
  </mc:AlternateContent>
  <xr:revisionPtr revIDLastSave="0" documentId="13_ncr:1_{5A983D93-840D-45E3-9424-97DB6CEFF68E}" xr6:coauthVersionLast="47" xr6:coauthVersionMax="47" xr10:uidLastSave="{00000000-0000-0000-0000-000000000000}"/>
  <bookViews>
    <workbookView xWindow="-108" yWindow="-108" windowWidth="23256" windowHeight="12456" xr2:uid="{76028647-2F10-4308-9BA1-926243E561C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" i="1" l="1"/>
  <c r="I27" i="1"/>
  <c r="I26" i="1"/>
  <c r="I2" i="1"/>
  <c r="I17" i="1"/>
  <c r="I18" i="1"/>
  <c r="I19" i="1"/>
  <c r="I20" i="1"/>
  <c r="I21" i="1"/>
  <c r="I22" i="1"/>
  <c r="I23" i="1"/>
  <c r="I24" i="1"/>
  <c r="I25" i="1"/>
  <c r="I14" i="1"/>
  <c r="I15" i="1"/>
  <c r="I16" i="1"/>
  <c r="I11" i="1"/>
  <c r="I12" i="1"/>
  <c r="I13" i="1"/>
  <c r="I8" i="1"/>
  <c r="I9" i="1"/>
  <c r="I10" i="1"/>
  <c r="I3" i="1"/>
  <c r="I4" i="1"/>
  <c r="I5" i="1"/>
  <c r="I6" i="1"/>
  <c r="I7" i="1"/>
</calcChain>
</file>

<file path=xl/sharedStrings.xml><?xml version="1.0" encoding="utf-8"?>
<sst xmlns="http://schemas.openxmlformats.org/spreadsheetml/2006/main" count="118" uniqueCount="67">
  <si>
    <t>Carburante</t>
  </si>
  <si>
    <t>Produttore</t>
  </si>
  <si>
    <t>Macchinario</t>
  </si>
  <si>
    <t>Consumo specifico di Combustibile [kg/kWh]</t>
  </si>
  <si>
    <t>Load factor [%]</t>
  </si>
  <si>
    <t>Potenza [kW]</t>
  </si>
  <si>
    <t>Autogrù</t>
  </si>
  <si>
    <t>Diesel</t>
  </si>
  <si>
    <t>Ore lavorative [h]</t>
  </si>
  <si>
    <t>Spazzatrice meccanica</t>
  </si>
  <si>
    <t>Dulevo</t>
  </si>
  <si>
    <t>Bucher Municipal</t>
  </si>
  <si>
    <t>Ravo</t>
  </si>
  <si>
    <t>Autobotti per emulsione</t>
  </si>
  <si>
    <t>Massenza</t>
  </si>
  <si>
    <t>Strassmayr</t>
  </si>
  <si>
    <t>Secmair</t>
  </si>
  <si>
    <t>Finitrice stradale</t>
  </si>
  <si>
    <t>Vögele</t>
  </si>
  <si>
    <t>Bomag</t>
  </si>
  <si>
    <t>Dynapac</t>
  </si>
  <si>
    <t>Rullo compattatore</t>
  </si>
  <si>
    <t>Hamm</t>
  </si>
  <si>
    <t>Ammann</t>
  </si>
  <si>
    <t>Spanditrice</t>
  </si>
  <si>
    <t>Motograder</t>
  </si>
  <si>
    <t>Pompa stazionaria carrellata</t>
  </si>
  <si>
    <t>Link</t>
  </si>
  <si>
    <t>Breining</t>
  </si>
  <si>
    <t>Caterpillar</t>
  </si>
  <si>
    <t>Komatsu</t>
  </si>
  <si>
    <t>John Deere</t>
  </si>
  <si>
    <t>CIFA</t>
  </si>
  <si>
    <t>Putzmeister</t>
  </si>
  <si>
    <t>Schwing</t>
  </si>
  <si>
    <t>Sany</t>
  </si>
  <si>
    <t>https://massenza.it/it/macchine/bitume/cisterne-spruzzatrici/soluzioni-avanzate/</t>
  </si>
  <si>
    <t>https://dynapac.com/it-it/prodotti/finitrici</t>
  </si>
  <si>
    <t>Fattore Emissivo [kgCO2eq/kg]</t>
  </si>
  <si>
    <t>Fattore Emissivo [kgCO2eq/giorno]</t>
  </si>
  <si>
    <t>Escavatore gommato</t>
  </si>
  <si>
    <t>https://www.cat.com/en_GB/products/new/equipment/excavators/wheel-excavators/126860.html</t>
  </si>
  <si>
    <t>https://gordonbow.co.uk/wp-content/uploads/2026/03/Komatsu-PW148-11-Brochure.pdf</t>
  </si>
  <si>
    <t xml:space="preserve">Liebherr </t>
  </si>
  <si>
    <t xml:space="preserve">Demag </t>
  </si>
  <si>
    <t>https://www.liebherr.com/it-ch/p/660349-3910658</t>
  </si>
  <si>
    <t>https://www.liebherr.com/en-int/mobile-and-crawler-cranes/mobile-cranes/ltm-mobile-cranes/ltm-1650-8-1-5387273</t>
  </si>
  <si>
    <t>https://cranedatabase.com/product/cc-2800-2-11734448</t>
  </si>
  <si>
    <t>https://www.sanyglobal.com/d/file/product/crane-mobile/2019-12-02/b7533f80677244068c66d3732ac23dc1.pdf</t>
  </si>
  <si>
    <t>https://www.dulevo.com/it/prodotti/spazzatrici-stradali/dulevo-6000/</t>
  </si>
  <si>
    <t>https://www.lectura-specs.it/it/modello/macchine-comunali/attrezzature-stradali-per-manutenzione-estiva-spazzatrici-stradali-spazzatrici-compatte-bucher-schorling/citycat-5006-11696058</t>
  </si>
  <si>
    <t>https://ravo.fayat.com/products/ravo-r5</t>
  </si>
  <si>
    <t>https://strasslider.com/en/product/strassmayr-ts-silver/</t>
  </si>
  <si>
    <t>https://secmair.fayat.com/en/chipsealer</t>
  </si>
  <si>
    <t>https://www.wirtgen-group.com/ocs/en-lk/voegele/super-1900-3-g-333009-p/</t>
  </si>
  <si>
    <t>https://products.unitedtractors.com/en/product/bomag/bf-600-c-3</t>
  </si>
  <si>
    <t>https://www.smsequipment.com/en-ca/new-equipment/compactors/bomag-bw-206-ad-5/</t>
  </si>
  <si>
    <t>https://www.wirtgen-group.com/ocs/it-it/hamm/hd-90i-vv-239639-p/#technical-data</t>
  </si>
  <si>
    <t>https://www.directindustry.it/prod/lonking-machinery-co-ltd/product-163757-2611402.html</t>
  </si>
  <si>
    <t>https://strassmayr.by/en/products/strassmayr-ts-manual/</t>
  </si>
  <si>
    <t>https://www.directindustry.it/prod/secmair/product-50244-588154.html</t>
  </si>
  <si>
    <t>https://www.cat.com/en_US/products/new/equipment/motor-graders/motor-graders/124680.html</t>
  </si>
  <si>
    <t>https://www.gowem.it/Motolivellatrice-GD675-7-Komatsu</t>
  </si>
  <si>
    <t>https://construction.papemachinery.com/new-equipment/construction/motor-graders/670-p-tier-motor-grader/</t>
  </si>
  <si>
    <t>https://www.eurasianmachinery.kz/en/catalog/special-machinery/construction-machinery/concrete-equipment/putzmeister-bsa-1409-d</t>
  </si>
  <si>
    <t>https://www.tr.lectura-specs.com/tr/model/yapisal-ve-insaat-muhendisligi-ekipmanlari/beton-pompalari-sabit-beton-pompalari-schwing-stetter/sp-500-e-11786317</t>
  </si>
  <si>
    <t>https://www.cifa.com/en/products/pc506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</si>
</sst>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3" fillId="0" borderId="0" xfId="2"/>
    <xf numFmtId="2" fontId="0" fillId="0" borderId="0" xfId="0" applyNumberFormat="1"/>
  </cellXfs>
  <cellStyles count="3">
    <cellStyle name="Collegamento ipertestuale" xfId="2" builtinId="8"/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rasslider.com/en/product/strassmayr-ts-silver/" TargetMode="External"/><Relationship Id="rId13" Type="http://schemas.openxmlformats.org/officeDocument/2006/relationships/hyperlink" Target="https://www.smsequipment.com/en-ca/new-equipment/compactors/bomag-bw-206-ad-5/" TargetMode="External"/><Relationship Id="rId18" Type="http://schemas.openxmlformats.org/officeDocument/2006/relationships/hyperlink" Target="https://secmair.fayat.com/en/chipsealer" TargetMode="External"/><Relationship Id="rId26" Type="http://schemas.openxmlformats.org/officeDocument/2006/relationships/hyperlink" Target="https://gordonbow.co.uk/wp-content/uploads/2026/03/Komatsu-PW148-11-Brochure.pdf" TargetMode="External"/><Relationship Id="rId3" Type="http://schemas.openxmlformats.org/officeDocument/2006/relationships/hyperlink" Target="https://www.sanyglobal.com/d/file/product/crane-mobile/2019-12-02/b7533f80677244068c66d3732ac23dc1.pdf" TargetMode="External"/><Relationship Id="rId21" Type="http://schemas.openxmlformats.org/officeDocument/2006/relationships/hyperlink" Target="https://construction.papemachinery.com/new-equipment/construction/motor-graders/670-p-tier-motor-grader/" TargetMode="External"/><Relationship Id="rId7" Type="http://schemas.openxmlformats.org/officeDocument/2006/relationships/hyperlink" Target="https://massenza.it/it/macchine/bitume/cisterne-spruzzatrici/soluzioni-avanzate/" TargetMode="External"/><Relationship Id="rId12" Type="http://schemas.openxmlformats.org/officeDocument/2006/relationships/hyperlink" Target="https://dynapac.com/it-it/prodotti/finitrici" TargetMode="External"/><Relationship Id="rId17" Type="http://schemas.openxmlformats.org/officeDocument/2006/relationships/hyperlink" Target="https://www.directindustry.it/prod/secmair/product-50244-588154.html" TargetMode="External"/><Relationship Id="rId25" Type="http://schemas.openxmlformats.org/officeDocument/2006/relationships/hyperlink" Target="https://www.cat.com/en_GB/products/new/equipment/excavators/wheel-excavators/126860.html" TargetMode="External"/><Relationship Id="rId2" Type="http://schemas.openxmlformats.org/officeDocument/2006/relationships/hyperlink" Target="https://cranedatabase.com/product/cc-2800-2-11734448" TargetMode="External"/><Relationship Id="rId16" Type="http://schemas.openxmlformats.org/officeDocument/2006/relationships/hyperlink" Target="https://strassmayr.by/en/products/strassmayr-ts-manual/" TargetMode="External"/><Relationship Id="rId20" Type="http://schemas.openxmlformats.org/officeDocument/2006/relationships/hyperlink" Target="https://www.gowem.it/Motolivellatrice-GD675-7-Komatsu" TargetMode="External"/><Relationship Id="rId1" Type="http://schemas.openxmlformats.org/officeDocument/2006/relationships/hyperlink" Target="https://www.liebherr.com/en-int/mobile-and-crawler-cranes/mobile-cranes/ltm-mobile-cranes/ltm-1650-8-1-5387273" TargetMode="External"/><Relationship Id="rId6" Type="http://schemas.openxmlformats.org/officeDocument/2006/relationships/hyperlink" Target="https://ravo.fayat.com/products/ravo-r5" TargetMode="External"/><Relationship Id="rId11" Type="http://schemas.openxmlformats.org/officeDocument/2006/relationships/hyperlink" Target="https://products.unitedtractors.com/en/product/bomag/bf-600-c-3" TargetMode="External"/><Relationship Id="rId24" Type="http://schemas.openxmlformats.org/officeDocument/2006/relationships/hyperlink" Target="https://www.tr.lectura-specs.com/tr/model/yapisal-ve-insaat-muhendisligi-ekipmanlari/beton-pompalari-sabit-beton-pompalari-schwing-stetter/sp-500-e-11786317" TargetMode="External"/><Relationship Id="rId5" Type="http://schemas.openxmlformats.org/officeDocument/2006/relationships/hyperlink" Target="https://www.lectura-specs.it/it/modello/macchine-comunali/attrezzature-stradali-per-manutenzione-estiva-spazzatrici-stradali-spazzatrici-compatte-bucher-schorling/citycat-5006-11696058" TargetMode="External"/><Relationship Id="rId15" Type="http://schemas.openxmlformats.org/officeDocument/2006/relationships/hyperlink" Target="https://www.directindustry.it/prod/lonking-machinery-co-ltd/product-163757-2611402.html" TargetMode="External"/><Relationship Id="rId23" Type="http://schemas.openxmlformats.org/officeDocument/2006/relationships/hyperlink" Target="https://www.eurasianmachinery.kz/en/catalog/special-machinery/construction-machinery/concrete-equipment/putzmeister-bsa-1409-d" TargetMode="External"/><Relationship Id="rId10" Type="http://schemas.openxmlformats.org/officeDocument/2006/relationships/hyperlink" Target="https://www.wirtgen-group.com/ocs/en-lk/voegele/super-1900-3-g-333009-p/" TargetMode="External"/><Relationship Id="rId19" Type="http://schemas.openxmlformats.org/officeDocument/2006/relationships/hyperlink" Target="https://www.cat.com/en_US/products/new/equipment/motor-graders/motor-graders/124680.html" TargetMode="External"/><Relationship Id="rId4" Type="http://schemas.openxmlformats.org/officeDocument/2006/relationships/hyperlink" Target="https://www.dulevo.com/it/prodotti/spazzatrici-stradali/dulevo-6000/" TargetMode="External"/><Relationship Id="rId9" Type="http://schemas.openxmlformats.org/officeDocument/2006/relationships/hyperlink" Target="https://secmair.fayat.com/en/chipsealer" TargetMode="External"/><Relationship Id="rId14" Type="http://schemas.openxmlformats.org/officeDocument/2006/relationships/hyperlink" Target="https://www.wirtgen-group.com/ocs/it-it/hamm/hd-90i-vv-239639-p/" TargetMode="External"/><Relationship Id="rId22" Type="http://schemas.openxmlformats.org/officeDocument/2006/relationships/hyperlink" Target="https://www.cifa.com/en/products/pc506" TargetMode="External"/><Relationship Id="rId27" Type="http://schemas.openxmlformats.org/officeDocument/2006/relationships/hyperlink" Target="https://www.liebherr.com/it-ch/p/660349-39106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45BE-5AF3-4CD1-8E8B-DCEB4E691999}">
  <dimension ref="A1:J28"/>
  <sheetViews>
    <sheetView tabSelected="1" topLeftCell="B7" workbookViewId="0">
      <selection activeCell="J24" sqref="J24"/>
    </sheetView>
  </sheetViews>
  <sheetFormatPr defaultRowHeight="14.4" x14ac:dyDescent="0.3"/>
  <cols>
    <col min="1" max="1" width="23.88671875" customWidth="1"/>
    <col min="2" max="2" width="16.5546875" customWidth="1"/>
    <col min="3" max="3" width="13.109375" customWidth="1"/>
    <col min="4" max="4" width="32" customWidth="1"/>
    <col min="5" max="5" width="20.21875" customWidth="1"/>
    <col min="6" max="6" width="38.88671875" customWidth="1"/>
    <col min="7" max="7" width="16.33203125" customWidth="1"/>
    <col min="8" max="8" width="16.77734375" customWidth="1"/>
    <col min="9" max="9" width="28.88671875" customWidth="1"/>
    <col min="10" max="10" width="26.77734375" customWidth="1"/>
  </cols>
  <sheetData>
    <row r="1" spans="1:10" x14ac:dyDescent="0.3">
      <c r="A1" t="s">
        <v>2</v>
      </c>
      <c r="B1" t="s">
        <v>1</v>
      </c>
      <c r="C1" t="s">
        <v>0</v>
      </c>
      <c r="D1" t="s">
        <v>38</v>
      </c>
      <c r="E1" t="s">
        <v>5</v>
      </c>
      <c r="F1" t="s">
        <v>3</v>
      </c>
      <c r="G1" t="s">
        <v>4</v>
      </c>
      <c r="H1" t="s">
        <v>8</v>
      </c>
      <c r="I1" t="s">
        <v>39</v>
      </c>
      <c r="J1" t="s">
        <v>27</v>
      </c>
    </row>
    <row r="2" spans="1:10" x14ac:dyDescent="0.3">
      <c r="A2" t="s">
        <v>6</v>
      </c>
      <c r="B2" t="s">
        <v>43</v>
      </c>
      <c r="C2" t="s">
        <v>7</v>
      </c>
      <c r="D2">
        <v>3.18</v>
      </c>
      <c r="E2">
        <v>505</v>
      </c>
      <c r="F2">
        <v>0.22</v>
      </c>
      <c r="G2" s="1">
        <v>0.3</v>
      </c>
      <c r="H2">
        <v>8</v>
      </c>
      <c r="I2" s="3">
        <f>PRODUCT(D2:H2)</f>
        <v>847.91520000000003</v>
      </c>
      <c r="J2" s="2" t="s">
        <v>46</v>
      </c>
    </row>
    <row r="3" spans="1:10" x14ac:dyDescent="0.3">
      <c r="A3" t="s">
        <v>6</v>
      </c>
      <c r="B3" t="s">
        <v>44</v>
      </c>
      <c r="C3" t="s">
        <v>7</v>
      </c>
      <c r="D3">
        <v>3.18</v>
      </c>
      <c r="E3">
        <v>390</v>
      </c>
      <c r="F3">
        <v>0.22</v>
      </c>
      <c r="G3" s="1">
        <v>0.3</v>
      </c>
      <c r="H3">
        <v>8</v>
      </c>
      <c r="I3" s="3">
        <f t="shared" ref="I3:I28" si="0">PRODUCT(D3:H3)</f>
        <v>654.82560000000001</v>
      </c>
      <c r="J3" s="2" t="s">
        <v>47</v>
      </c>
    </row>
    <row r="4" spans="1:10" x14ac:dyDescent="0.3">
      <c r="A4" t="s">
        <v>6</v>
      </c>
      <c r="B4" t="s">
        <v>35</v>
      </c>
      <c r="C4" t="s">
        <v>7</v>
      </c>
      <c r="D4">
        <v>3.18</v>
      </c>
      <c r="E4">
        <v>480</v>
      </c>
      <c r="F4">
        <v>0.22</v>
      </c>
      <c r="G4" s="1">
        <v>0.3</v>
      </c>
      <c r="H4">
        <v>8</v>
      </c>
      <c r="I4" s="3">
        <f t="shared" si="0"/>
        <v>805.93920000000014</v>
      </c>
      <c r="J4" s="2" t="s">
        <v>48</v>
      </c>
    </row>
    <row r="5" spans="1:10" x14ac:dyDescent="0.3">
      <c r="A5" t="s">
        <v>9</v>
      </c>
      <c r="B5" t="s">
        <v>10</v>
      </c>
      <c r="C5" t="s">
        <v>7</v>
      </c>
      <c r="D5">
        <v>3.18</v>
      </c>
      <c r="E5">
        <v>120</v>
      </c>
      <c r="F5">
        <v>0.22</v>
      </c>
      <c r="G5" s="1">
        <v>0.6</v>
      </c>
      <c r="H5">
        <v>8</v>
      </c>
      <c r="I5" s="3">
        <f t="shared" si="0"/>
        <v>402.96960000000007</v>
      </c>
      <c r="J5" s="2" t="s">
        <v>49</v>
      </c>
    </row>
    <row r="6" spans="1:10" x14ac:dyDescent="0.3">
      <c r="A6" t="s">
        <v>9</v>
      </c>
      <c r="B6" t="s">
        <v>11</v>
      </c>
      <c r="C6" t="s">
        <v>7</v>
      </c>
      <c r="D6">
        <v>3.18</v>
      </c>
      <c r="E6">
        <v>118</v>
      </c>
      <c r="F6">
        <v>0.22</v>
      </c>
      <c r="G6" s="1">
        <v>0.6</v>
      </c>
      <c r="H6">
        <v>8</v>
      </c>
      <c r="I6" s="3">
        <f t="shared" si="0"/>
        <v>396.25344000000001</v>
      </c>
      <c r="J6" s="2" t="s">
        <v>50</v>
      </c>
    </row>
    <row r="7" spans="1:10" x14ac:dyDescent="0.3">
      <c r="A7" t="s">
        <v>9</v>
      </c>
      <c r="B7" t="s">
        <v>12</v>
      </c>
      <c r="C7" t="s">
        <v>7</v>
      </c>
      <c r="D7">
        <v>3.18</v>
      </c>
      <c r="E7">
        <v>105</v>
      </c>
      <c r="F7">
        <v>0.22</v>
      </c>
      <c r="G7" s="1">
        <v>0.6</v>
      </c>
      <c r="H7">
        <v>8</v>
      </c>
      <c r="I7" s="3">
        <f t="shared" si="0"/>
        <v>352.59840000000003</v>
      </c>
      <c r="J7" s="2" t="s">
        <v>51</v>
      </c>
    </row>
    <row r="8" spans="1:10" x14ac:dyDescent="0.3">
      <c r="A8" t="s">
        <v>13</v>
      </c>
      <c r="B8" t="s">
        <v>14</v>
      </c>
      <c r="C8" t="s">
        <v>7</v>
      </c>
      <c r="D8">
        <v>3.18</v>
      </c>
      <c r="E8">
        <v>228</v>
      </c>
      <c r="F8">
        <v>0.22</v>
      </c>
      <c r="G8" s="1">
        <v>0.3</v>
      </c>
      <c r="H8">
        <v>8</v>
      </c>
      <c r="I8" s="3">
        <f t="shared" si="0"/>
        <v>382.82112000000001</v>
      </c>
      <c r="J8" s="2" t="s">
        <v>36</v>
      </c>
    </row>
    <row r="9" spans="1:10" x14ac:dyDescent="0.3">
      <c r="A9" t="s">
        <v>13</v>
      </c>
      <c r="B9" t="s">
        <v>15</v>
      </c>
      <c r="C9" t="s">
        <v>7</v>
      </c>
      <c r="D9">
        <v>3.18</v>
      </c>
      <c r="E9">
        <v>240</v>
      </c>
      <c r="F9">
        <v>0.22</v>
      </c>
      <c r="G9" s="1">
        <v>0.3</v>
      </c>
      <c r="H9">
        <v>8</v>
      </c>
      <c r="I9" s="3">
        <f t="shared" si="0"/>
        <v>402.96960000000007</v>
      </c>
      <c r="J9" s="2" t="s">
        <v>52</v>
      </c>
    </row>
    <row r="10" spans="1:10" x14ac:dyDescent="0.3">
      <c r="A10" t="s">
        <v>13</v>
      </c>
      <c r="B10" t="s">
        <v>16</v>
      </c>
      <c r="C10" t="s">
        <v>7</v>
      </c>
      <c r="D10">
        <v>3.18</v>
      </c>
      <c r="E10">
        <v>105</v>
      </c>
      <c r="F10">
        <v>0.22</v>
      </c>
      <c r="G10" s="1">
        <v>0.3</v>
      </c>
      <c r="H10">
        <v>8</v>
      </c>
      <c r="I10" s="3">
        <f t="shared" si="0"/>
        <v>176.29920000000001</v>
      </c>
      <c r="J10" s="2" t="s">
        <v>53</v>
      </c>
    </row>
    <row r="11" spans="1:10" x14ac:dyDescent="0.3">
      <c r="A11" t="s">
        <v>17</v>
      </c>
      <c r="B11" t="s">
        <v>18</v>
      </c>
      <c r="C11" t="s">
        <v>7</v>
      </c>
      <c r="D11">
        <v>3.18</v>
      </c>
      <c r="E11">
        <v>158</v>
      </c>
      <c r="F11">
        <v>0.22</v>
      </c>
      <c r="G11" s="1">
        <v>0.5</v>
      </c>
      <c r="H11">
        <v>8</v>
      </c>
      <c r="I11" s="3">
        <f t="shared" si="0"/>
        <v>442.1472</v>
      </c>
      <c r="J11" s="2" t="s">
        <v>54</v>
      </c>
    </row>
    <row r="12" spans="1:10" x14ac:dyDescent="0.3">
      <c r="A12" t="s">
        <v>17</v>
      </c>
      <c r="B12" t="s">
        <v>19</v>
      </c>
      <c r="C12" t="s">
        <v>7</v>
      </c>
      <c r="D12">
        <v>3.18</v>
      </c>
      <c r="E12">
        <v>116</v>
      </c>
      <c r="F12">
        <v>0.22</v>
      </c>
      <c r="G12" s="1">
        <v>0.5</v>
      </c>
      <c r="H12">
        <v>8</v>
      </c>
      <c r="I12" s="3">
        <f t="shared" si="0"/>
        <v>324.61439999999999</v>
      </c>
      <c r="J12" s="2" t="s">
        <v>55</v>
      </c>
    </row>
    <row r="13" spans="1:10" x14ac:dyDescent="0.3">
      <c r="A13" t="s">
        <v>17</v>
      </c>
      <c r="B13" t="s">
        <v>20</v>
      </c>
      <c r="C13" t="s">
        <v>7</v>
      </c>
      <c r="D13">
        <v>3.18</v>
      </c>
      <c r="E13">
        <v>140</v>
      </c>
      <c r="F13">
        <v>0.22</v>
      </c>
      <c r="G13" s="1">
        <v>0.5</v>
      </c>
      <c r="H13">
        <v>8</v>
      </c>
      <c r="I13" s="3">
        <f t="shared" si="0"/>
        <v>391.77600000000007</v>
      </c>
      <c r="J13" s="2" t="s">
        <v>37</v>
      </c>
    </row>
    <row r="14" spans="1:10" x14ac:dyDescent="0.3">
      <c r="A14" t="s">
        <v>21</v>
      </c>
      <c r="B14" t="s">
        <v>19</v>
      </c>
      <c r="C14" t="s">
        <v>7</v>
      </c>
      <c r="D14">
        <v>3.18</v>
      </c>
      <c r="E14">
        <v>105</v>
      </c>
      <c r="F14">
        <v>0.22</v>
      </c>
      <c r="G14" s="1">
        <v>0.5</v>
      </c>
      <c r="H14">
        <v>8</v>
      </c>
      <c r="I14" s="3">
        <f t="shared" si="0"/>
        <v>293.83200000000005</v>
      </c>
      <c r="J14" s="2" t="s">
        <v>56</v>
      </c>
    </row>
    <row r="15" spans="1:10" x14ac:dyDescent="0.3">
      <c r="A15" t="s">
        <v>21</v>
      </c>
      <c r="B15" t="s">
        <v>22</v>
      </c>
      <c r="C15" t="s">
        <v>7</v>
      </c>
      <c r="D15">
        <v>3.18</v>
      </c>
      <c r="E15">
        <v>85</v>
      </c>
      <c r="F15">
        <v>0.22</v>
      </c>
      <c r="G15" s="1">
        <v>0.5</v>
      </c>
      <c r="H15">
        <v>8</v>
      </c>
      <c r="I15" s="3">
        <f t="shared" si="0"/>
        <v>237.864</v>
      </c>
      <c r="J15" s="2" t="s">
        <v>57</v>
      </c>
    </row>
    <row r="16" spans="1:10" x14ac:dyDescent="0.3">
      <c r="A16" t="s">
        <v>21</v>
      </c>
      <c r="B16" t="s">
        <v>23</v>
      </c>
      <c r="C16" t="s">
        <v>7</v>
      </c>
      <c r="D16">
        <v>3.18</v>
      </c>
      <c r="E16">
        <v>85</v>
      </c>
      <c r="F16">
        <v>0.22</v>
      </c>
      <c r="G16" s="1">
        <v>0.5</v>
      </c>
      <c r="H16">
        <v>8</v>
      </c>
      <c r="I16" s="3">
        <f t="shared" si="0"/>
        <v>237.864</v>
      </c>
      <c r="J16" s="2" t="s">
        <v>58</v>
      </c>
    </row>
    <row r="17" spans="1:10" x14ac:dyDescent="0.3">
      <c r="A17" t="s">
        <v>24</v>
      </c>
      <c r="B17" t="s">
        <v>15</v>
      </c>
      <c r="C17" t="s">
        <v>7</v>
      </c>
      <c r="D17">
        <v>3.18</v>
      </c>
      <c r="E17">
        <v>55</v>
      </c>
      <c r="F17">
        <v>0.22</v>
      </c>
      <c r="G17" s="1">
        <v>0.4</v>
      </c>
      <c r="H17">
        <v>8</v>
      </c>
      <c r="I17" s="3">
        <f t="shared" si="0"/>
        <v>123.12960000000001</v>
      </c>
      <c r="J17" s="2" t="s">
        <v>59</v>
      </c>
    </row>
    <row r="18" spans="1:10" x14ac:dyDescent="0.3">
      <c r="A18" t="s">
        <v>24</v>
      </c>
      <c r="B18" t="s">
        <v>28</v>
      </c>
      <c r="C18" t="s">
        <v>7</v>
      </c>
      <c r="D18">
        <v>3.18</v>
      </c>
      <c r="E18">
        <v>48</v>
      </c>
      <c r="F18">
        <v>0.22</v>
      </c>
      <c r="G18" s="1">
        <v>0.4</v>
      </c>
      <c r="H18">
        <v>8</v>
      </c>
      <c r="I18" s="3">
        <f t="shared" si="0"/>
        <v>107.45856000000002</v>
      </c>
      <c r="J18" s="2" t="s">
        <v>60</v>
      </c>
    </row>
    <row r="19" spans="1:10" x14ac:dyDescent="0.3">
      <c r="A19" t="s">
        <v>24</v>
      </c>
      <c r="B19" t="s">
        <v>16</v>
      </c>
      <c r="C19" t="s">
        <v>7</v>
      </c>
      <c r="D19">
        <v>3.18</v>
      </c>
      <c r="E19">
        <v>60</v>
      </c>
      <c r="F19">
        <v>0.22</v>
      </c>
      <c r="G19" s="1">
        <v>0.4</v>
      </c>
      <c r="H19">
        <v>8</v>
      </c>
      <c r="I19" s="3">
        <f t="shared" si="0"/>
        <v>134.32320000000001</v>
      </c>
      <c r="J19" s="2" t="s">
        <v>53</v>
      </c>
    </row>
    <row r="20" spans="1:10" x14ac:dyDescent="0.3">
      <c r="A20" t="s">
        <v>25</v>
      </c>
      <c r="B20" t="s">
        <v>29</v>
      </c>
      <c r="C20" t="s">
        <v>7</v>
      </c>
      <c r="D20">
        <v>3.18</v>
      </c>
      <c r="E20">
        <v>147</v>
      </c>
      <c r="F20">
        <v>0.22</v>
      </c>
      <c r="G20" s="1">
        <v>0.5</v>
      </c>
      <c r="H20">
        <v>8</v>
      </c>
      <c r="I20" s="3">
        <f t="shared" si="0"/>
        <v>411.36480000000006</v>
      </c>
      <c r="J20" s="2" t="s">
        <v>61</v>
      </c>
    </row>
    <row r="21" spans="1:10" x14ac:dyDescent="0.3">
      <c r="A21" t="s">
        <v>25</v>
      </c>
      <c r="B21" t="s">
        <v>30</v>
      </c>
      <c r="C21" t="s">
        <v>7</v>
      </c>
      <c r="D21">
        <v>3.18</v>
      </c>
      <c r="E21">
        <v>163</v>
      </c>
      <c r="F21">
        <v>0.22</v>
      </c>
      <c r="G21" s="1">
        <v>0.5</v>
      </c>
      <c r="H21">
        <v>8</v>
      </c>
      <c r="I21" s="3">
        <f t="shared" si="0"/>
        <v>456.13920000000002</v>
      </c>
      <c r="J21" s="2" t="s">
        <v>62</v>
      </c>
    </row>
    <row r="22" spans="1:10" x14ac:dyDescent="0.3">
      <c r="A22" t="s">
        <v>25</v>
      </c>
      <c r="B22" t="s">
        <v>31</v>
      </c>
      <c r="C22" t="s">
        <v>7</v>
      </c>
      <c r="D22">
        <v>3.18</v>
      </c>
      <c r="E22">
        <v>172</v>
      </c>
      <c r="F22">
        <v>0.22</v>
      </c>
      <c r="G22" s="1">
        <v>0.5</v>
      </c>
      <c r="H22">
        <v>8</v>
      </c>
      <c r="I22" s="3">
        <f t="shared" si="0"/>
        <v>481.32480000000004</v>
      </c>
      <c r="J22" s="2" t="s">
        <v>63</v>
      </c>
    </row>
    <row r="23" spans="1:10" x14ac:dyDescent="0.3">
      <c r="A23" t="s">
        <v>26</v>
      </c>
      <c r="B23" t="s">
        <v>32</v>
      </c>
      <c r="C23" t="s">
        <v>7</v>
      </c>
      <c r="D23">
        <v>3.18</v>
      </c>
      <c r="E23">
        <v>55</v>
      </c>
      <c r="F23">
        <v>0.22</v>
      </c>
      <c r="G23" s="1">
        <v>0.4</v>
      </c>
      <c r="H23">
        <v>8</v>
      </c>
      <c r="I23" s="3">
        <f t="shared" si="0"/>
        <v>123.12960000000001</v>
      </c>
      <c r="J23" s="2" t="s">
        <v>66</v>
      </c>
    </row>
    <row r="24" spans="1:10" x14ac:dyDescent="0.3">
      <c r="A24" t="s">
        <v>26</v>
      </c>
      <c r="B24" t="s">
        <v>33</v>
      </c>
      <c r="C24" t="s">
        <v>7</v>
      </c>
      <c r="D24">
        <v>3.18</v>
      </c>
      <c r="E24">
        <v>140</v>
      </c>
      <c r="F24">
        <v>0.22</v>
      </c>
      <c r="G24" s="1">
        <v>0.4</v>
      </c>
      <c r="H24">
        <v>8</v>
      </c>
      <c r="I24" s="3">
        <f t="shared" si="0"/>
        <v>313.4208000000001</v>
      </c>
      <c r="J24" s="2" t="s">
        <v>64</v>
      </c>
    </row>
    <row r="25" spans="1:10" x14ac:dyDescent="0.3">
      <c r="A25" t="s">
        <v>26</v>
      </c>
      <c r="B25" t="s">
        <v>34</v>
      </c>
      <c r="C25" t="s">
        <v>7</v>
      </c>
      <c r="D25">
        <v>3.18</v>
      </c>
      <c r="E25">
        <v>55</v>
      </c>
      <c r="F25">
        <v>0.22</v>
      </c>
      <c r="G25" s="1">
        <v>0.4</v>
      </c>
      <c r="H25">
        <v>8</v>
      </c>
      <c r="I25" s="3">
        <f t="shared" si="0"/>
        <v>123.12960000000001</v>
      </c>
      <c r="J25" s="2" t="s">
        <v>65</v>
      </c>
    </row>
    <row r="26" spans="1:10" x14ac:dyDescent="0.3">
      <c r="A26" t="s">
        <v>40</v>
      </c>
      <c r="B26" t="s">
        <v>29</v>
      </c>
      <c r="C26" t="s">
        <v>7</v>
      </c>
      <c r="D26">
        <v>3.18</v>
      </c>
      <c r="E26">
        <v>100</v>
      </c>
      <c r="F26">
        <v>0.22</v>
      </c>
      <c r="G26" s="1">
        <v>0.5</v>
      </c>
      <c r="H26">
        <v>8</v>
      </c>
      <c r="I26" s="3">
        <f t="shared" si="0"/>
        <v>279.83999999999997</v>
      </c>
      <c r="J26" s="2" t="s">
        <v>41</v>
      </c>
    </row>
    <row r="27" spans="1:10" x14ac:dyDescent="0.3">
      <c r="A27" t="s">
        <v>40</v>
      </c>
      <c r="B27" t="s">
        <v>30</v>
      </c>
      <c r="C27" t="s">
        <v>7</v>
      </c>
      <c r="D27">
        <v>3.18</v>
      </c>
      <c r="E27">
        <v>110</v>
      </c>
      <c r="F27">
        <v>0.22</v>
      </c>
      <c r="G27" s="1">
        <v>0.5</v>
      </c>
      <c r="H27">
        <v>8</v>
      </c>
      <c r="I27" s="3">
        <f t="shared" si="0"/>
        <v>307.82400000000001</v>
      </c>
      <c r="J27" s="2" t="s">
        <v>42</v>
      </c>
    </row>
    <row r="28" spans="1:10" x14ac:dyDescent="0.3">
      <c r="A28" t="s">
        <v>40</v>
      </c>
      <c r="B28" t="s">
        <v>43</v>
      </c>
      <c r="C28" t="s">
        <v>7</v>
      </c>
      <c r="D28">
        <v>3.18</v>
      </c>
      <c r="E28">
        <v>125</v>
      </c>
      <c r="F28">
        <v>0.22</v>
      </c>
      <c r="G28" s="1">
        <v>0.5</v>
      </c>
      <c r="H28">
        <v>8</v>
      </c>
      <c r="I28" s="3">
        <f t="shared" si="0"/>
        <v>349.8</v>
      </c>
      <c r="J28" s="2" t="s">
        <v>45</v>
      </c>
    </row>
  </sheetData>
  <phoneticPr fontId="2" type="noConversion"/>
  <hyperlinks>
    <hyperlink ref="J2" r:id="rId1" xr:uid="{68A29A68-1518-49D1-85F7-B6BB183A8BFD}"/>
    <hyperlink ref="J3" r:id="rId2" xr:uid="{3F4EC464-6BA2-4AB9-A6AF-E54A42D61691}"/>
    <hyperlink ref="J4" r:id="rId3" xr:uid="{D445B3A4-78F7-4C14-BFF4-895EEC2C0D7B}"/>
    <hyperlink ref="J5" r:id="rId4" xr:uid="{3C617BC3-DEA2-4158-AE0F-DF7D56081AC7}"/>
    <hyperlink ref="J6" r:id="rId5" xr:uid="{F8F35965-987F-40A4-A4BB-3C38CA9E34A5}"/>
    <hyperlink ref="J7" r:id="rId6" xr:uid="{D0620BB3-3988-4702-BE7B-39D9B2B1765C}"/>
    <hyperlink ref="J8" r:id="rId7" xr:uid="{6C0921DF-65BE-4CF3-A596-2C2294A8183B}"/>
    <hyperlink ref="J9" r:id="rId8" xr:uid="{F871BF02-1DFA-480E-AC3F-3B6131DDED46}"/>
    <hyperlink ref="J10" r:id="rId9" xr:uid="{C145C6E7-FF35-4D54-BB7E-CE0A233E275A}"/>
    <hyperlink ref="J11" r:id="rId10" xr:uid="{456FFD95-A109-4D5B-B2C4-86919A5828DF}"/>
    <hyperlink ref="J12" r:id="rId11" xr:uid="{5DF8098E-C28A-42C2-A413-F01C559F319E}"/>
    <hyperlink ref="J13" r:id="rId12" xr:uid="{2C91419C-85BE-4053-A886-C05F152752E6}"/>
    <hyperlink ref="J14" r:id="rId13" xr:uid="{2AE92686-0AB9-44EB-9660-F72C03F6B427}"/>
    <hyperlink ref="J15" r:id="rId14" location="technical-data" xr:uid="{DB1E73D4-8598-4F6C-B7BA-1E84A39B37D8}"/>
    <hyperlink ref="J16" r:id="rId15" xr:uid="{99A93955-78F5-43E3-BFFE-F3AAB83A7896}"/>
    <hyperlink ref="J17" r:id="rId16" xr:uid="{FA1DA342-272B-4B0D-9A65-61F7054A72D6}"/>
    <hyperlink ref="J18" r:id="rId17" xr:uid="{4B9D4F5A-1358-42D1-97A0-E32028538423}"/>
    <hyperlink ref="J19" r:id="rId18" xr:uid="{3E9AACE8-FEB8-47FA-BFBB-A9141048D7CE}"/>
    <hyperlink ref="J20" r:id="rId19" xr:uid="{E83B9E91-D23E-4C1D-BC90-17FE8CFA8506}"/>
    <hyperlink ref="J21" r:id="rId20" xr:uid="{E3AA0B32-3743-49A1-BF2B-7A824D2A4B55}"/>
    <hyperlink ref="J22" r:id="rId21" xr:uid="{F6D26F6D-44AB-44D2-81B2-01F2862958FF}"/>
    <hyperlink ref="J23" r:id="rId22" xr:uid="{30CA5EE3-C801-415C-AF14-58F468059EF4}"/>
    <hyperlink ref="J24" r:id="rId23" xr:uid="{C0E1AB76-DC5F-4A57-ACB6-599D12523A7C}"/>
    <hyperlink ref="J25" r:id="rId24" xr:uid="{1FD322D6-3EB4-4983-B85E-EE6DBDC1C716}"/>
    <hyperlink ref="J26" r:id="rId25" xr:uid="{B9D48079-807C-4DAB-B457-1AC8E99E8EDF}"/>
    <hyperlink ref="J27" r:id="rId26" xr:uid="{003EAE98-F777-4BFD-AD2B-EBB201AE5A28}"/>
    <hyperlink ref="J28" r:id="rId27" xr:uid="{649E4CFC-F884-4DAB-8A1C-165F345099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Tinelli  Tommaso</dc:creator>
  <cp:lastModifiedBy>Tinelli  Tommaso</cp:lastModifiedBy>
  <dcterms:created xsi:type="dcterms:W3CDTF">2026-10-16T10:17:00Z</dcterms:created>
  <dcterms:modified xsi:type="dcterms:W3CDTF">2026-10-26T16:37:47Z</dcterms:modified>
</cp:coreProperties>
</file>