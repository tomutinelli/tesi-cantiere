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esi_Magistrale\Progetto\Codice\"/>
    </mc:Choice>
  </mc:AlternateContent>
  <xr:revisionPtr revIDLastSave="0" documentId="13_ncr:1_{2E99BE54-9EF2-4424-A3FA-BA2550A5EC68}" xr6:coauthVersionLast="47" xr6:coauthVersionMax="47" xr10:uidLastSave="{00000000-0000-0000-0000-000000000000}"/>
  <bookViews>
    <workbookView xWindow="-28920" yWindow="-120" windowWidth="29040" windowHeight="15720" xr2:uid="{670B7FBB-75A7-404D-BFF6-8FE2820B436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10" i="1"/>
  <c r="E11" i="1"/>
  <c r="E12" i="1"/>
  <c r="E13" i="1"/>
  <c r="E9" i="1"/>
  <c r="E8" i="1"/>
  <c r="E7" i="1"/>
  <c r="D6" i="1"/>
  <c r="D5" i="1"/>
  <c r="D4" i="1"/>
  <c r="D3" i="1"/>
  <c r="D2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<sst xmlns="http://schemas.openxmlformats.org/spreadsheetml/2006/main" count="42" uniqueCount="32">
  <si>
    <t>Materiale</t>
  </si>
  <si>
    <t>Acciaio</t>
  </si>
  <si>
    <t>EPD</t>
  </si>
  <si>
    <t>Process Data set: Structural Steel: Heavy Plates (en) - OEKOBAU.DAT</t>
  </si>
  <si>
    <t>Calcestruzzo</t>
  </si>
  <si>
    <t>Asfalto</t>
  </si>
  <si>
    <t>Produttore</t>
  </si>
  <si>
    <t>Oekobau</t>
  </si>
  <si>
    <t>Oekobau 2</t>
  </si>
  <si>
    <t>Betonrossi</t>
  </si>
  <si>
    <t>Unical Nosedo</t>
  </si>
  <si>
    <t>Unical Ravenna</t>
  </si>
  <si>
    <t>Unical Berlia</t>
  </si>
  <si>
    <t>Zerocento</t>
  </si>
  <si>
    <t>Vezzola</t>
  </si>
  <si>
    <t>Valagussa</t>
  </si>
  <si>
    <t>Pesaresi</t>
  </si>
  <si>
    <t>ID</t>
  </si>
  <si>
    <t>Beltrame</t>
  </si>
  <si>
    <t>Duferco</t>
  </si>
  <si>
    <t>https://politoit-my.sharepoint.com/:b:/g/personal/s349000_studenti_polito_it/IQDLI_u9d-ZNQIS0z3BzdKsJAcWUxYnE38VAtSeCZA7m7W0?e=xEEQEa</t>
  </si>
  <si>
    <t>https://politoit-my.sharepoint.com/:b:/g/personal/s349000_studenti_polito_it/IQBXojr8tHsBSb0Cm-vgJIXMAUtTt6leF0r-7wzXT5naOdE?e=d7X2WJ</t>
  </si>
  <si>
    <t>https://politoit-my.sharepoint.com/:b:/g/personal/s349000_studenti_polito_it/IQCvPB2OGDluS7YqrkTYjvsKAb-kgjvY11o10EZg96e9-qk?e=3johJU</t>
  </si>
  <si>
    <t>https://politoit-my.sharepoint.com/:b:/g/personal/s349000_studenti_polito_it/IQB11YOuUYgmTovjNcAG9hCYASyuGAAy3tTUz52KTu27P_A?e=E31bvw</t>
  </si>
  <si>
    <t>https://politoit-my.sharepoint.com/:b:/g/personal/s349000_studenti_polito_it/IQBRWYwdljN3TLmOJrcNYb7KAZBT-3VBniwkCT6463PuoxM?e=L6Caeg</t>
  </si>
  <si>
    <t>https://politoit-my.sharepoint.com/:b:/g/personal/s349000_studenti_polito_it/IQB9m07uy9luRpXc2vw4KkFJAV6PMylaOH3-Tssuf4c0LOQ?e=Sy0EOh</t>
  </si>
  <si>
    <t>https://politoit-my.sharepoint.com/:b:/g/personal/s349000_studenti_polito_it/IQAQyYuKv4xYQpEjlH4YktKlAapDT8bJh4ee1pJ30c2DqcY?e=M3SCpW</t>
  </si>
  <si>
    <t>https://politoit-my.sharepoint.com/:b:/g/personal/s349000_studenti_polito_it/IQCxtdF31qcPS4z5lTVt83R-AQRj6u4lJPW6zAHVUsnZmD0?e=R2lLda</t>
  </si>
  <si>
    <t>https://politoit-my.sharepoint.com/:b:/g/personal/s349000_studenti_polito_it/IQDbmkNkzU9uRLTf4ndkhxbLAUJWd6Cjm7q-LTLGnV5Tc5c?e=MXAOYb</t>
  </si>
  <si>
    <t>https://politoit-my.sharepoint.com/:b:/g/personal/s349000_studenti_polito_it/IQBIKYlQ3trhR5JJvVH8LQpyAQ2jiaNvAjWHNiA2jB4OwQE?e=UMBHIG</t>
  </si>
  <si>
    <t>Fattore di emissione A1-A3 [kgCO₂ eq / kg]</t>
  </si>
  <si>
    <t>Fattore di emissione C2-C4 [kgCO₂ eq / 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</si>
</sst>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right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toit-my.sharepoint.com/:b:/g/personal/s349000_studenti_polito_it/IQB9m07uy9luRpXc2vw4KkFJAV6PMylaOH3-Tssuf4c0LOQ?e=Sy0EOh" TargetMode="External"/><Relationship Id="rId3" Type="http://schemas.openxmlformats.org/officeDocument/2006/relationships/hyperlink" Target="https://politoit-my.sharepoint.com/:b:/g/personal/s349000_studenti_polito_it/IQDLI_u9d-ZNQIS0z3BzdKsJAcWUxYnE38VAtSeCZA7m7W0?e=xEEQEa" TargetMode="External"/><Relationship Id="rId7" Type="http://schemas.openxmlformats.org/officeDocument/2006/relationships/hyperlink" Target="https://politoit-my.sharepoint.com/:b:/g/personal/s349000_studenti_polito_it/IQBRWYwdljN3TLmOJrcNYb7KAZBT-3VBniwkCT6463PuoxM?e=L6Caeg" TargetMode="External"/><Relationship Id="rId12" Type="http://schemas.openxmlformats.org/officeDocument/2006/relationships/hyperlink" Target="https://politoit-my.sharepoint.com/:b:/g/personal/s349000_studenti_polito_it/IQBIKYlQ3trhR5JJvVH8LQpyAQ2jiaNvAjWHNiA2jB4OwQE?e=UMBHIG" TargetMode="External"/><Relationship Id="rId2" Type="http://schemas.openxmlformats.org/officeDocument/2006/relationships/hyperlink" Target="https://oekobaudat.de/OEKOBAU.DAT/datasetdetail/process.xhtml?uuid=04d1311a-ae38-4bfb-8e11-8992f1ddb14f&amp;version=00.03.000&amp;stock=OBD_2024_II&amp;lang=en" TargetMode="External"/><Relationship Id="rId1" Type="http://schemas.openxmlformats.org/officeDocument/2006/relationships/hyperlink" Target="https://oekobaudat.de/OEKOBAU.DAT/datasetdetail/process.xhtml?uuid=04d1311a-ae38-4bfb-8e11-8992f1ddb14f&amp;version=00.03.000&amp;stock=OBD_2024_II&amp;lang=en" TargetMode="External"/><Relationship Id="rId6" Type="http://schemas.openxmlformats.org/officeDocument/2006/relationships/hyperlink" Target="https://politoit-my.sharepoint.com/:b:/g/personal/s349000_studenti_polito_it/IQB11YOuUYgmTovjNcAG9hCYASyuGAAy3tTUz52KTu27P_A?e=E31bvw" TargetMode="External"/><Relationship Id="rId11" Type="http://schemas.openxmlformats.org/officeDocument/2006/relationships/hyperlink" Target="https://politoit-my.sharepoint.com/:b:/g/personal/s349000_studenti_polito_it/IQDbmkNkzU9uRLTf4ndkhxbLAUJWd6Cjm7q-LTLGnV5Tc5c?e=MXAOYb" TargetMode="External"/><Relationship Id="rId5" Type="http://schemas.openxmlformats.org/officeDocument/2006/relationships/hyperlink" Target="https://politoit-my.sharepoint.com/:b:/g/personal/s349000_studenti_polito_it/IQCvPB2OGDluS7YqrkTYjvsKAb-kgjvY11o10EZg96e9-qk?e=3johJU" TargetMode="External"/><Relationship Id="rId10" Type="http://schemas.openxmlformats.org/officeDocument/2006/relationships/hyperlink" Target="https://politoit-my.sharepoint.com/:b:/g/personal/s349000_studenti_polito_it/IQCxtdF31qcPS4z5lTVt83R-AQRj6u4lJPW6zAHVUsnZmD0?e=R2lLda" TargetMode="External"/><Relationship Id="rId4" Type="http://schemas.openxmlformats.org/officeDocument/2006/relationships/hyperlink" Target="https://politoit-my.sharepoint.com/:b:/g/personal/s349000_studenti_polito_it/IQBXojr8tHsBSb0Cm-vgJIXMAUtTt6leF0r-7wzXT5naOdE?e=d7X2WJ" TargetMode="External"/><Relationship Id="rId9" Type="http://schemas.openxmlformats.org/officeDocument/2006/relationships/hyperlink" Target="https://politoit-my.sharepoint.com/:b:/g/personal/s349000_studenti_polito_it/IQAQyYuKv4xYQpEjlH4YktKlAapDT8bJh4ee1pJ30c2DqcY?e=M3SC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E1E4-8335-4172-AB4F-AB0FCF156C23}">
  <dimension ref="A1:F13"/>
  <sheetViews>
    <sheetView tabSelected="1" workbookViewId="0">
      <selection activeCell="E4" sqref="E4"/>
    </sheetView>
  </sheetViews>
  <sheetFormatPr defaultRowHeight="14.4" x14ac:dyDescent="0.3"/>
  <cols>
    <col min="2" max="2" width="13.44140625" customWidth="1"/>
    <col min="3" max="3" width="24.88671875" customWidth="1"/>
    <col min="4" max="4" width="37.88671875" customWidth="1"/>
    <col min="5" max="5" width="38.88671875" customWidth="1"/>
    <col min="6" max="6" width="31.21875" customWidth="1"/>
  </cols>
  <sheetData>
    <row r="1" spans="1:6" x14ac:dyDescent="0.3">
      <c r="A1" t="s">
        <v>17</v>
      </c>
      <c r="B1" t="s">
        <v>0</v>
      </c>
      <c r="C1" t="s">
        <v>6</v>
      </c>
      <c r="D1" t="s">
        <v>30</v>
      </c>
      <c r="E1" t="s">
        <v>31</v>
      </c>
      <c r="F1" t="s">
        <v>2</v>
      </c>
    </row>
    <row r="2" spans="1:6" x14ac:dyDescent="0.3">
      <c r="A2">
        <v>1</v>
      </c>
      <c r="B2" t="s">
        <v>1</v>
      </c>
      <c r="C2" t="s">
        <v>7</v>
      </c>
      <c r="D2" s="3">
        <f>2529/1000</f>
        <v>2.5289999999999999</v>
      </c>
      <c r="E2" s="2">
        <v>0</v>
      </c>
      <c r="F2" s="1" t="s">
        <v>3</v>
      </c>
    </row>
    <row r="3" spans="1:6" x14ac:dyDescent="0.3">
      <c r="A3">
        <v>2</v>
      </c>
      <c r="B3" t="s">
        <v>1</v>
      </c>
      <c r="C3" t="s">
        <v>8</v>
      </c>
      <c r="D3" s="2">
        <f>2841/1000</f>
        <v>2.8410000000000002</v>
      </c>
      <c r="E3" s="2">
        <v>0</v>
      </c>
      <c r="F3" s="1" t="s">
        <v>3</v>
      </c>
    </row>
    <row r="4" spans="1:6" x14ac:dyDescent="0.3">
      <c r="A4">
        <v>3</v>
      </c>
      <c r="B4" t="s">
        <v>1</v>
      </c>
      <c r="C4" t="s">
        <v>18</v>
      </c>
      <c r="D4">
        <f>551/1000</f>
        <v>0.55100000000000005</v>
      </c>
      <c r="E4" s="2">
        <v>0</v>
      </c>
      <c r="F4" s="1" t="s">
        <v>29</v>
      </c>
    </row>
    <row r="5" spans="1:6" x14ac:dyDescent="0.3">
      <c r="A5">
        <v>4</v>
      </c>
      <c r="B5" t="s">
        <v>1</v>
      </c>
      <c r="C5" t="s">
        <v>19</v>
      </c>
      <c r="D5" s="2">
        <f>981.48/1000</f>
        <v>0.98148000000000002</v>
      </c>
      <c r="E5" s="2">
        <v>0</v>
      </c>
      <c r="F5" s="1" t="s">
        <v>28</v>
      </c>
    </row>
    <row r="6" spans="1:6" x14ac:dyDescent="0.3">
      <c r="A6">
        <v>5</v>
      </c>
      <c r="B6" t="s">
        <v>4</v>
      </c>
      <c r="C6" t="s">
        <v>9</v>
      </c>
      <c r="D6" s="4">
        <f>311/2345</f>
        <v>0.13262260127931769</v>
      </c>
      <c r="E6" s="2">
        <f>(13.7+3.16-21.4)/2345</f>
        <v>-1.9360341151385923E-3</v>
      </c>
      <c r="F6" s="1" t="s">
        <v>20</v>
      </c>
    </row>
    <row r="7" spans="1:6" x14ac:dyDescent="0.3">
      <c r="A7">
        <v>6</v>
      </c>
      <c r="B7" t="s">
        <v>4</v>
      </c>
      <c r="C7" t="s">
        <v>10</v>
      </c>
      <c r="D7" s="2">
        <f>288.07/2345</f>
        <v>0.12284434968017058</v>
      </c>
      <c r="E7" s="4">
        <f>(7.04+0.76+0.01)/2345</f>
        <v>3.3304904051172706E-3</v>
      </c>
      <c r="F7" s="1" t="s">
        <v>22</v>
      </c>
    </row>
    <row r="8" spans="1:6" x14ac:dyDescent="0.3">
      <c r="A8">
        <v>7</v>
      </c>
      <c r="B8" t="s">
        <v>4</v>
      </c>
      <c r="C8" t="s">
        <v>11</v>
      </c>
      <c r="D8" s="2">
        <f>426.01/2345</f>
        <v>0.18166737739872069</v>
      </c>
      <c r="E8" s="4">
        <f>(7.27+0.76+0.01)/2345</f>
        <v>3.4285714285714284E-3</v>
      </c>
      <c r="F8" s="1" t="s">
        <v>23</v>
      </c>
    </row>
    <row r="9" spans="1:6" x14ac:dyDescent="0.3">
      <c r="A9">
        <v>8</v>
      </c>
      <c r="B9" t="s">
        <v>4</v>
      </c>
      <c r="C9" t="s">
        <v>12</v>
      </c>
      <c r="D9" s="2">
        <f>238.49/2345</f>
        <v>0.10170149253731343</v>
      </c>
      <c r="E9" s="4">
        <f>(7.17+0.76+0.01)/2345</f>
        <v>3.3859275053304901E-3</v>
      </c>
      <c r="F9" s="1" t="s">
        <v>21</v>
      </c>
    </row>
    <row r="10" spans="1:6" x14ac:dyDescent="0.3">
      <c r="A10">
        <v>9</v>
      </c>
      <c r="B10" t="s">
        <v>5</v>
      </c>
      <c r="C10" t="s">
        <v>13</v>
      </c>
      <c r="D10">
        <f>12.8/1000</f>
        <v>1.2800000000000001E-2</v>
      </c>
      <c r="E10" s="2">
        <f>(6.78+0.237+4.03)/1000</f>
        <v>1.1047000000000001E-2</v>
      </c>
      <c r="F10" s="1" t="s">
        <v>27</v>
      </c>
    </row>
    <row r="11" spans="1:6" x14ac:dyDescent="0.3">
      <c r="A11">
        <v>10</v>
      </c>
      <c r="B11" t="s">
        <v>5</v>
      </c>
      <c r="C11" t="s">
        <v>14</v>
      </c>
      <c r="D11">
        <f>40.9/1000</f>
        <v>4.0899999999999999E-2</v>
      </c>
      <c r="E11" s="2">
        <f>(6.84 + 0 + 1.68 )/1000</f>
        <v>8.5199999999999998E-3</v>
      </c>
      <c r="F11" s="1" t="s">
        <v>26</v>
      </c>
    </row>
    <row r="12" spans="1:6" x14ac:dyDescent="0.3">
      <c r="A12">
        <v>11</v>
      </c>
      <c r="B12" t="s">
        <v>5</v>
      </c>
      <c r="C12" t="s">
        <v>15</v>
      </c>
      <c r="D12">
        <f>11.2/1000</f>
        <v>1.12E-2</v>
      </c>
      <c r="E12" s="2">
        <f>(1.56 + 0+ 0.992)/1000</f>
        <v>2.552E-3</v>
      </c>
      <c r="F12" s="1" t="s">
        <v>25</v>
      </c>
    </row>
    <row r="13" spans="1:6" x14ac:dyDescent="0.3">
      <c r="A13">
        <v>12</v>
      </c>
      <c r="B13" t="s">
        <v>5</v>
      </c>
      <c r="C13" t="s">
        <v>16</v>
      </c>
      <c r="D13">
        <f>80.3/1000</f>
        <v>8.0299999999999996E-2</v>
      </c>
      <c r="E13" s="2">
        <f>(9.62 + 0.198+2.03)/1000</f>
        <v>1.1847999999999999E-2</v>
      </c>
      <c r="F13" s="1" t="s">
        <v>24</v>
      </c>
    </row>
  </sheetData>
  <hyperlinks>
    <hyperlink ref="F2" r:id="rId1" display="https://oekobaudat.de/OEKOBAU.DAT/datasetdetail/process.xhtml?uuid=04d1311a-ae38-4bfb-8e11-8992f1ddb14f&amp;version=00.03.000&amp;stock=OBD_2024_II&amp;lang=en" xr:uid="{F067DC98-FF5F-45BE-ABC5-6B5C81A7ADC5}"/>
    <hyperlink ref="F3" r:id="rId2" display="https://oekobaudat.de/OEKOBAU.DAT/datasetdetail/process.xhtml?uuid=04d1311a-ae38-4bfb-8e11-8992f1ddb14f&amp;version=00.03.000&amp;stock=OBD_2024_II&amp;lang=en" xr:uid="{BA36138C-55A0-4E5F-B1AC-6172A54CD401}"/>
    <hyperlink ref="F6" r:id="rId3" xr:uid="{649D437F-FB5E-4747-A6D0-13202AEF80D2}"/>
    <hyperlink ref="F9" r:id="rId4" xr:uid="{CEFCD98D-38FB-4906-A268-C5CD0B82924D}"/>
    <hyperlink ref="F7" r:id="rId5" xr:uid="{A6AC7154-19CA-4721-A9C3-C9BB92C24BD6}"/>
    <hyperlink ref="F8" r:id="rId6" xr:uid="{86707B21-18DF-4544-B1AA-9DD03705483F}"/>
    <hyperlink ref="F13" r:id="rId7" xr:uid="{C8020416-2459-4007-9A46-26ABC50F241E}"/>
    <hyperlink ref="F12" r:id="rId8" xr:uid="{77EB6187-1BE7-4AD8-ADC0-593E541606B0}"/>
    <hyperlink ref="F11" r:id="rId9" xr:uid="{7A3B82DE-6727-4A19-BF7D-72D6CD922F93}"/>
    <hyperlink ref="F10" r:id="rId10" xr:uid="{0C55A6D9-941B-43D8-83C9-3B1596340811}"/>
    <hyperlink ref="F5" r:id="rId11" xr:uid="{7AFB0966-598A-49BF-8AE5-8D4B7BB9EFE7}"/>
    <hyperlink ref="F4" r:id="rId12" xr:uid="{2D91F95F-534B-4778-BEB7-87E71FA403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Tinelli  Tommaso</dc:creator>
  <cp:lastModifiedBy>Tinelli  Tommaso</cp:lastModifiedBy>
  <dcterms:created xsi:type="dcterms:W3CDTF">2026-10-14T14:13:34Z</dcterms:created>
  <dcterms:modified xsi:type="dcterms:W3CDTF">2026-10-18T09:54:51Z</dcterms:modified>
</cp:coreProperties>
</file>